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8F2952ED-B26E-4F13-BCD2-5B9855E2837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G9" i="1"/>
  <c r="C9" i="1" s="1"/>
  <c r="G10" i="1"/>
  <c r="C10" i="1" s="1"/>
  <c r="C11" i="1"/>
  <c r="C5" i="1"/>
  <c r="C6" i="1"/>
  <c r="C7" i="1"/>
  <c r="C8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tc={0240C529-E236-4730-AF03-A67C98617DB9}</author>
    <author>tc={DCE15674-1DFF-488B-B408-013D0094F7BD}</author>
    <author>tc={872EB765-299C-4010-A2AF-4F70ED27DA72}</author>
    <author>tc={15263803-772D-4512-A1A9-99C217D60008}</author>
  </authors>
  <commentList>
    <comment ref="G5" authorId="0" shapeId="0" xr:uid="{0240C529-E236-4730-AF03-A67C98617DB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Da COSTI EEM, 37.05 kW installed in total</t>
      </text>
    </comment>
    <comment ref="G9" authorId="1" shapeId="0" xr:uid="{DCE15674-1DFF-488B-B408-013D0094F7B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Da COSTI EEM. Assunzione: singolo pannello da 1kW ha una superfice di 1.83m2</t>
      </text>
    </comment>
    <comment ref="G10" authorId="2" shapeId="0" xr:uid="{872EB765-299C-4010-A2AF-4F70ED27DA7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Ea COSIT EEM, including "sostituzione infissi"</t>
      </text>
    </comment>
    <comment ref="G11" authorId="3" shapeId="0" xr:uid="{15263803-772D-4512-A1A9-99C217D6000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Da COSTI EEM</t>
      </text>
    </comment>
  </commentList>
</comments>
</file>

<file path=xl/sharedStrings.xml><?xml version="1.0" encoding="utf-8"?>
<sst xmlns="http://schemas.openxmlformats.org/spreadsheetml/2006/main" count="30" uniqueCount="29">
  <si>
    <t>('Technology information', 'Name')</t>
  </si>
  <si>
    <t>('Technology information', 'Unit')</t>
  </si>
  <si>
    <t>Costo di installazione</t>
  </si>
  <si>
    <t>Carbon footprint</t>
  </si>
  <si>
    <t>Capacità batteria</t>
  </si>
  <si>
    <t>Incentivi</t>
  </si>
  <si>
    <t>Listino</t>
  </si>
  <si>
    <t>€</t>
  </si>
  <si>
    <t>kgCO2</t>
  </si>
  <si>
    <t>kWh</t>
  </si>
  <si>
    <t>%</t>
  </si>
  <si>
    <t>('Technology', 'Name')</t>
  </si>
  <si>
    <t>('Technology', 'Unit')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</si>
  <si>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</si>
  <si>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</si>
  <si>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</si>
  <si>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</si>
  <si>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</si>
  <si>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</si>
  <si>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</si>
  <si>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</si>
  <si>
    <t>Utenza speciale</t>
  </si>
  <si>
    <t>Modulo da 3 kW</t>
  </si>
  <si>
    <t>Batteria da 7 kW</t>
  </si>
  <si>
    <t>Boiler da 500 kW</t>
  </si>
  <si>
    <t>PdC da 200 kW</t>
  </si>
  <si>
    <t>Modulo da 1 kW</t>
  </si>
  <si>
    <t>Involucro esterno</t>
  </si>
  <si>
    <t>Relamping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</si>
</sst>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zo Rinaldi" id="{2C5D9F24-8318-423E-BCCE-D937F7FE0C06}" userId="Lorenzo Rinaldi" providerId="None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" dT="2022-06-12T15:37:36.35" personId="{2C5D9F24-8318-423E-BCCE-D937F7FE0C06}" id="{0240C529-E236-4730-AF03-A67C98617DB9}">
    <text>Da COSTI EEM, 37.05 kW installed in total</text>
  </threadedComment>
  <threadedComment ref="G9" dT="2022-06-12T15:37:55.43" personId="{2C5D9F24-8318-423E-BCCE-D937F7FE0C06}" id="{DCE15674-1DFF-488B-B408-013D0094F7BD}">
    <text>Da COSTI EEM. Assunzione: singolo pannello da 1kW ha una superfice di 1.83m2</text>
  </threadedComment>
  <threadedComment ref="G10" dT="2022-06-12T15:38:14.67" personId="{2C5D9F24-8318-423E-BCCE-D937F7FE0C06}" id="{872EB765-299C-4010-A2AF-4F70ED27DA72}">
    <text>Ea COSIT EEM, including "sostituzione infissi"</text>
  </threadedComment>
  <threadedComment ref="G11" dT="2022-06-12T15:39:35.92" personId="{2C5D9F24-8318-423E-BCCE-D937F7FE0C06}" id="{15263803-772D-4512-A1A9-99C217D60008}">
    <text>Da COSTI EEM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5" x14ac:dyDescent="0.25"/>
  <cols>
    <col min="1" max="1" width="21.5703125" bestFit="1" customWidth="1"/>
    <col min="2" max="2" width="32.85546875" bestFit="1" customWidth="1"/>
    <col min="3" max="3" width="20.140625" bestFit="1" customWidth="1"/>
    <col min="4" max="4" width="15.85546875" bestFit="1" customWidth="1"/>
    <col min="5" max="5" width="16" bestFit="1" customWidth="1"/>
    <col min="6" max="6" width="8.7109375" bestFit="1" customWidth="1"/>
    <col min="7" max="7" width="11" bestFit="1" customWidth="1"/>
  </cols>
  <sheetData>
    <row r="1" spans="1:7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s="1" t="s">
        <v>1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</row>
    <row r="3" spans="1:7" x14ac:dyDescent="0.25">
      <c r="A3" s="1" t="s">
        <v>11</v>
      </c>
      <c r="B3" s="1" t="s">
        <v>12</v>
      </c>
    </row>
    <row r="4" spans="1:7" x14ac:dyDescent="0.25">
      <c r="A4" s="1" t="s">
        <v>13</v>
      </c>
      <c r="B4" s="1" t="s">
        <v>21</v>
      </c>
      <c r="C4">
        <f>G4*(1-F4)</f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22</v>
      </c>
      <c r="C5">
        <f t="shared" ref="C5:C10" si="0">G5*(1-F5)</f>
        <v>5940.0000000000009</v>
      </c>
      <c r="D5">
        <v>240</v>
      </c>
      <c r="E5">
        <v>0</v>
      </c>
      <c r="F5">
        <v>0</v>
      </c>
      <c r="G5">
        <f>73359/37.05*3</f>
        <v>5940.0000000000009</v>
      </c>
    </row>
    <row r="6" spans="1:7" x14ac:dyDescent="0.25">
      <c r="A6" s="1" t="s">
        <v>15</v>
      </c>
      <c r="B6" s="1" t="s">
        <v>23</v>
      </c>
      <c r="C6">
        <f t="shared" si="0"/>
        <v>8000</v>
      </c>
      <c r="D6">
        <v>615</v>
      </c>
      <c r="E6">
        <v>14</v>
      </c>
      <c r="F6">
        <v>0</v>
      </c>
      <c r="G6">
        <v>8000</v>
      </c>
    </row>
    <row r="7" spans="1:7" x14ac:dyDescent="0.25">
      <c r="A7" s="1" t="s">
        <v>16</v>
      </c>
      <c r="B7" s="1" t="s">
        <v>24</v>
      </c>
      <c r="C7">
        <f t="shared" si="0"/>
        <v>0</v>
      </c>
      <c r="D7">
        <v>2708</v>
      </c>
      <c r="E7">
        <v>0</v>
      </c>
      <c r="F7">
        <v>0</v>
      </c>
      <c r="G7">
        <v>0</v>
      </c>
    </row>
    <row r="8" spans="1:7" x14ac:dyDescent="0.25">
      <c r="A8" s="1" t="s">
        <v>17</v>
      </c>
      <c r="B8" s="1" t="s">
        <v>25</v>
      </c>
      <c r="C8">
        <f t="shared" si="0"/>
        <v>300000</v>
      </c>
      <c r="D8">
        <v>1500</v>
      </c>
      <c r="E8">
        <v>0</v>
      </c>
      <c r="F8">
        <v>0</v>
      </c>
      <c r="G8">
        <v>300000</v>
      </c>
    </row>
    <row r="9" spans="1:7" x14ac:dyDescent="0.25">
      <c r="A9" s="1" t="s">
        <v>18</v>
      </c>
      <c r="B9" s="1" t="s">
        <v>26</v>
      </c>
      <c r="C9">
        <f t="shared" si="0"/>
        <v>4347.826086956522</v>
      </c>
      <c r="D9">
        <v>0</v>
      </c>
      <c r="E9">
        <v>0</v>
      </c>
      <c r="F9">
        <v>0</v>
      </c>
      <c r="G9">
        <f>44000/10.12</f>
        <v>4347.826086956522</v>
      </c>
    </row>
    <row r="10" spans="1:7" x14ac:dyDescent="0.25">
      <c r="A10" s="1" t="s">
        <v>19</v>
      </c>
      <c r="B10" s="1" t="s">
        <v>27</v>
      </c>
      <c r="C10">
        <f t="shared" si="0"/>
        <v>1279291.92</v>
      </c>
      <c r="D10">
        <v>0</v>
      </c>
      <c r="E10">
        <v>0</v>
      </c>
      <c r="F10">
        <v>0</v>
      </c>
      <c r="G10">
        <f>942334.3+336957.62</f>
        <v>1279291.92</v>
      </c>
    </row>
    <row r="11" spans="1:7" x14ac:dyDescent="0.25">
      <c r="A11" s="1" t="s">
        <v>20</v>
      </c>
      <c r="B11" s="1" t="s">
        <v>28</v>
      </c>
      <c r="C11">
        <f>G11*(1-F11)</f>
        <v>50472.959999999999</v>
      </c>
      <c r="D11">
        <v>0</v>
      </c>
      <c r="E11">
        <v>0</v>
      </c>
      <c r="F11">
        <v>0</v>
      </c>
      <c r="G11">
        <v>50472.959999999999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2022-06-12T15:33:48Z</dcterms:created>
  <dcterms:modified xsi:type="dcterms:W3CDTF">2022-06-12T15:42:45Z</dcterms:modified>
</cp:coreProperties>
</file>