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076C3979-7F31-4B08-969A-C6457B47867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9" i="1"/>
  <c r="G10" i="1"/>
  <c r="G8" i="1"/>
  <c r="C8" i="1" s="1"/>
  <c r="D8" i="1"/>
  <c r="D7" i="1"/>
  <c r="C10" i="1"/>
  <c r="C9" i="1"/>
  <c r="C7" i="1"/>
  <c r="C6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tc={236A2E32-00B1-4578-9D25-31F8B72EF51A}</author>
    <author>tc={C6778B4C-3D4A-4317-9B67-A8C82112D7F7}</author>
    <author>tc={23F9CE5C-E9FF-4622-88D6-700F842DA6C8}</author>
    <author>tc={56ADEB05-515A-4FFE-9797-76E9F6B565FE}</author>
  </authors>
  <commentList>
    <comment ref="G5" authorId="0" shapeId="0" xr:uid="{236A2E32-00B1-4578-9D25-31F8B72EF51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REPORT DE page 122 rielaboration</t>
      </text>
    </comment>
    <comment ref="G7" authorId="1" shapeId="0" xr:uid="{C6778B4C-3D4A-4317-9B67-A8C82112D7F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REPORT DE page 122 rielaboration</t>
      </text>
    </comment>
    <comment ref="G9" authorId="2" shapeId="0" xr:uid="{23F9CE5C-E9FF-4622-88D6-700F842DA6C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Da REPORT DE, pag 121. Assunzione: singolo pannello da 1kW ha una superfice di 1.83m2</t>
      </text>
    </comment>
    <comment ref="G10" authorId="3" shapeId="0" xr:uid="{56ADEB05-515A-4FFE-9797-76E9F6B565F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REPORT DE page 122, including "sostituzione infissi"</t>
      </text>
    </comment>
  </commentList>
</comments>
</file>

<file path=xl/sharedStrings.xml><?xml version="1.0" encoding="utf-8"?>
<sst xmlns="http://schemas.openxmlformats.org/spreadsheetml/2006/main" count="28" uniqueCount="27">
  <si>
    <t>('Technology information', 'Name')</t>
  </si>
  <si>
    <t>('Technology information', 'Unit')</t>
  </si>
  <si>
    <t>Costo di installazione</t>
  </si>
  <si>
    <t>Carbon footprint</t>
  </si>
  <si>
    <t>Capacità batteria</t>
  </si>
  <si>
    <t>Incentivi</t>
  </si>
  <si>
    <t>Listino</t>
  </si>
  <si>
    <t>€</t>
  </si>
  <si>
    <t>kgCO2</t>
  </si>
  <si>
    <t>kWh</t>
  </si>
  <si>
    <t>%</t>
  </si>
  <si>
    <t>('Technology', 'Name')</t>
  </si>
  <si>
    <t>('Technology', 'Unit')</t>
  </si>
  <si>
    <t>Grid</t>
  </si>
  <si>
    <t>PV</t>
  </si>
  <si>
    <t>Powerwall</t>
  </si>
  <si>
    <t>Gas boiler</t>
  </si>
  <si>
    <t>Heat pump</t>
  </si>
  <si>
    <t>Psolar</t>
  </si>
  <si>
    <t>Coat</t>
  </si>
  <si>
    <t>Utenza speciale</t>
  </si>
  <si>
    <t>Modulo da 3 kW</t>
  </si>
  <si>
    <t>Batteria da 7 kW</t>
  </si>
  <si>
    <t>Boiler da 500 kW</t>
  </si>
  <si>
    <t>PdC da 200 kW</t>
  </si>
  <si>
    <t>Modulo da 1 kW</t>
  </si>
  <si>
    <t>Involucro esterno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</si>
</sst>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" fontId="0" fillId="2" borderId="0" xfId="0" applyNumberFormat="1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zo Rinaldi" id="{0B177F16-7644-4DF7-983D-AF7FF7785CE9}" userId="Lorenzo Rinaldi" providerId="None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2-06-08T17:59:49.53" personId="{0B177F16-7644-4DF7-983D-AF7FF7785CE9}" id="{236A2E32-00B1-4578-9D25-31F8B72EF51A}">
    <text>REPORT DE page 122 rielaboration</text>
  </threadedComment>
  <threadedComment ref="G7" dT="2022-06-08T17:59:49.53" personId="{0B177F16-7644-4DF7-983D-AF7FF7785CE9}" id="{C6778B4C-3D4A-4317-9B67-A8C82112D7F7}">
    <text>REPORT DE page 122 rielaboration</text>
  </threadedComment>
  <threadedComment ref="G9" dT="2022-06-09T11:42:35.27" personId="{0B177F16-7644-4DF7-983D-AF7FF7785CE9}" id="{23F9CE5C-E9FF-4622-88D6-700F842DA6C8}">
    <text>Da REPORT DE, pag 121. Assunzione: singolo pannello da 1kW ha una superfice di 1.83m2</text>
  </threadedComment>
  <threadedComment ref="G10" dT="2022-06-08T18:08:39.34" personId="{0B177F16-7644-4DF7-983D-AF7FF7785CE9}" id="{56ADEB05-515A-4FFE-9797-76E9F6B565FE}">
    <text>REPORT DE page 122, including "sostituzione infissi"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10" sqref="A10"/>
    </sheetView>
  </sheetViews>
  <sheetFormatPr defaultRowHeight="15" x14ac:dyDescent="0.25"/>
  <cols>
    <col min="1" max="1" width="20.140625" bestFit="1" customWidth="1"/>
    <col min="2" max="2" width="32.85546875" bestFit="1" customWidth="1"/>
    <col min="3" max="3" width="18.7109375" bestFit="1" customWidth="1"/>
    <col min="4" max="5" width="15.28515625" bestFit="1" customWidth="1"/>
    <col min="6" max="6" width="8.7109375" bestFit="1" customWidth="1"/>
    <col min="7" max="7" width="11" bestFit="1" customWidth="1"/>
  </cols>
  <sheetData>
    <row r="1" spans="1:7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</row>
    <row r="3" spans="1:7" x14ac:dyDescent="0.25">
      <c r="A3" s="1" t="s">
        <v>11</v>
      </c>
      <c r="B3" s="1" t="s">
        <v>12</v>
      </c>
    </row>
    <row r="4" spans="1:7" x14ac:dyDescent="0.25">
      <c r="A4" s="1" t="s">
        <v>13</v>
      </c>
      <c r="B4" s="1" t="s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21</v>
      </c>
      <c r="C5">
        <f t="shared" ref="C5:C10" si="0">G5*(1-F5)</f>
        <v>5400</v>
      </c>
      <c r="D5" s="2">
        <v>240</v>
      </c>
      <c r="E5">
        <v>0</v>
      </c>
      <c r="F5">
        <v>0</v>
      </c>
      <c r="G5">
        <f>1800*3</f>
        <v>5400</v>
      </c>
    </row>
    <row r="6" spans="1:7" x14ac:dyDescent="0.25">
      <c r="A6" s="1" t="s">
        <v>15</v>
      </c>
      <c r="B6" s="1" t="s">
        <v>22</v>
      </c>
      <c r="C6">
        <f t="shared" si="0"/>
        <v>8000</v>
      </c>
      <c r="D6" s="2">
        <v>615</v>
      </c>
      <c r="E6">
        <v>14</v>
      </c>
      <c r="F6">
        <v>0</v>
      </c>
      <c r="G6">
        <v>8000</v>
      </c>
    </row>
    <row r="7" spans="1:7" x14ac:dyDescent="0.25">
      <c r="A7" s="1" t="s">
        <v>16</v>
      </c>
      <c r="B7" s="1" t="s">
        <v>23</v>
      </c>
      <c r="C7">
        <f t="shared" si="0"/>
        <v>0</v>
      </c>
      <c r="D7" s="3">
        <f>130/24*500</f>
        <v>2708.3333333333335</v>
      </c>
      <c r="E7">
        <v>0</v>
      </c>
      <c r="F7">
        <v>0</v>
      </c>
      <c r="G7">
        <v>0</v>
      </c>
    </row>
    <row r="8" spans="1:7" x14ac:dyDescent="0.25">
      <c r="A8" s="1" t="s">
        <v>17</v>
      </c>
      <c r="B8" s="1" t="s">
        <v>24</v>
      </c>
      <c r="C8">
        <f t="shared" si="0"/>
        <v>300000</v>
      </c>
      <c r="D8" s="2">
        <f>30/4*200</f>
        <v>1500</v>
      </c>
      <c r="E8">
        <v>0</v>
      </c>
      <c r="F8">
        <v>0</v>
      </c>
      <c r="G8">
        <f>300000</f>
        <v>300000</v>
      </c>
    </row>
    <row r="9" spans="1:7" x14ac:dyDescent="0.25">
      <c r="A9" s="1" t="s">
        <v>18</v>
      </c>
      <c r="B9" s="1" t="s">
        <v>25</v>
      </c>
      <c r="C9" s="4">
        <f t="shared" si="0"/>
        <v>3952.5691699604745</v>
      </c>
      <c r="D9" s="2">
        <v>0</v>
      </c>
      <c r="E9" s="4">
        <v>0</v>
      </c>
      <c r="F9" s="4">
        <v>0</v>
      </c>
      <c r="G9" s="4">
        <f>40000/10.12</f>
        <v>3952.5691699604745</v>
      </c>
    </row>
    <row r="10" spans="1:7" x14ac:dyDescent="0.25">
      <c r="A10" s="1" t="s">
        <v>19</v>
      </c>
      <c r="B10" s="1" t="s">
        <v>26</v>
      </c>
      <c r="C10">
        <f t="shared" si="0"/>
        <v>1187011.3799999999</v>
      </c>
      <c r="D10">
        <v>0</v>
      </c>
      <c r="E10">
        <v>0</v>
      </c>
      <c r="F10">
        <v>0</v>
      </c>
      <c r="G10">
        <f>880686.27+306325.11</f>
        <v>1187011.3799999999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2022-06-08T17:08:10Z</dcterms:created>
  <dcterms:modified xsi:type="dcterms:W3CDTF">2022-06-09T14:18:57Z</dcterms:modified>
</cp:coreProperties>
</file>